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karitsushin365-my.sharepoint.com/personal/1109944_dm-hikari_ad_hikari_co_jp/Documents/"/>
    </mc:Choice>
  </mc:AlternateContent>
  <xr:revisionPtr revIDLastSave="0" documentId="8_{65963369-1FE6-4D98-9BB0-B9EF2FBC7B8B}" xr6:coauthVersionLast="47" xr6:coauthVersionMax="47" xr10:uidLastSave="{00000000-0000-0000-0000-000000000000}"/>
  <bookViews>
    <workbookView xWindow="3075" yWindow="3075" windowWidth="21555" windowHeight="11070" xr2:uid="{24DC23A6-6C3C-4142-A1D9-BC8EC36A2D99}"/>
  </bookViews>
  <sheets>
    <sheet name="高圧" sheetId="1" r:id="rId1"/>
    <sheet name="低圧" sheetId="2" r:id="rId2"/>
    <sheet name="特別割引計算シート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1" l="1"/>
  <c r="G13" i="1" s="1"/>
  <c r="C24" i="1"/>
  <c r="D24" i="1"/>
  <c r="E24" i="1"/>
  <c r="F24" i="1"/>
  <c r="G24" i="1"/>
  <c r="H24" i="1"/>
  <c r="I24" i="1"/>
  <c r="J24" i="1"/>
  <c r="K24" i="1"/>
  <c r="L24" i="1"/>
  <c r="M24" i="1"/>
  <c r="B24" i="1"/>
  <c r="N30" i="1"/>
  <c r="N29" i="1"/>
  <c r="N28" i="1"/>
  <c r="N27" i="1"/>
  <c r="G43" i="3"/>
  <c r="G28" i="3"/>
  <c r="G13" i="3"/>
  <c r="E38" i="3"/>
  <c r="G38" i="3" s="1"/>
  <c r="E20" i="3"/>
  <c r="E35" i="3" s="1"/>
  <c r="H5" i="3"/>
  <c r="E23" i="3"/>
  <c r="G23" i="3" s="1"/>
  <c r="C20" i="3"/>
  <c r="C35" i="3" s="1"/>
  <c r="G8" i="3"/>
  <c r="G5" i="3"/>
  <c r="N29" i="2"/>
  <c r="M29" i="2"/>
  <c r="L29" i="2"/>
  <c r="K29" i="2"/>
  <c r="J29" i="2"/>
  <c r="I29" i="2"/>
  <c r="H29" i="2"/>
  <c r="G29" i="2"/>
  <c r="F29" i="2"/>
  <c r="E29" i="2"/>
  <c r="D29" i="2"/>
  <c r="C29" i="2"/>
  <c r="O28" i="2"/>
  <c r="O27" i="2"/>
  <c r="N16" i="2"/>
  <c r="M16" i="2"/>
  <c r="L16" i="2"/>
  <c r="K16" i="2"/>
  <c r="J16" i="2"/>
  <c r="I16" i="2"/>
  <c r="H16" i="2"/>
  <c r="G16" i="2"/>
  <c r="F16" i="2"/>
  <c r="E16" i="2"/>
  <c r="D16" i="2"/>
  <c r="C16" i="2"/>
  <c r="O15" i="2"/>
  <c r="O14" i="2"/>
  <c r="E11" i="3" l="1"/>
  <c r="G11" i="3" s="1"/>
  <c r="E12" i="3"/>
  <c r="G12" i="3" s="1"/>
  <c r="H35" i="3"/>
  <c r="E42" i="3" s="1"/>
  <c r="G42" i="3" s="1"/>
  <c r="G35" i="3"/>
  <c r="E44" i="3" s="1"/>
  <c r="G44" i="3" s="1"/>
  <c r="E14" i="3"/>
  <c r="G14" i="3" s="1"/>
  <c r="E15" i="3"/>
  <c r="G15" i="3" s="1"/>
  <c r="G20" i="3"/>
  <c r="H20" i="3"/>
  <c r="O29" i="2"/>
  <c r="O16" i="2"/>
  <c r="E45" i="3" l="1"/>
  <c r="G45" i="3" s="1"/>
  <c r="E41" i="3"/>
  <c r="G41" i="3" s="1"/>
  <c r="E29" i="3"/>
  <c r="G29" i="3" s="1"/>
  <c r="E26" i="3"/>
  <c r="G26" i="3" s="1"/>
  <c r="E30" i="3"/>
  <c r="G30" i="3" s="1"/>
  <c r="E27" i="3"/>
  <c r="G27" i="3" s="1"/>
</calcChain>
</file>

<file path=xl/sharedStrings.xml><?xml version="1.0" encoding="utf-8"?>
<sst xmlns="http://schemas.openxmlformats.org/spreadsheetml/2006/main" count="186" uniqueCount="72">
  <si>
    <t>法人名</t>
    <rPh sb="0" eb="2">
      <t>ホウジン</t>
    </rPh>
    <rPh sb="2" eb="3">
      <t>メイ</t>
    </rPh>
    <phoneticPr fontId="2"/>
  </si>
  <si>
    <t>住所</t>
    <rPh sb="0" eb="2">
      <t>ジュウショ</t>
    </rPh>
    <phoneticPr fontId="2"/>
  </si>
  <si>
    <t>代表者名</t>
    <rPh sb="0" eb="4">
      <t>ダイヒョウシャメイ</t>
    </rPh>
    <phoneticPr fontId="2"/>
  </si>
  <si>
    <t>需要場所名</t>
    <rPh sb="0" eb="2">
      <t>ジュヨウ</t>
    </rPh>
    <rPh sb="2" eb="4">
      <t>バショ</t>
    </rPh>
    <rPh sb="4" eb="5">
      <t>メイ</t>
    </rPh>
    <phoneticPr fontId="2"/>
  </si>
  <si>
    <t>管轄</t>
    <rPh sb="0" eb="2">
      <t>カンカツ</t>
    </rPh>
    <phoneticPr fontId="2"/>
  </si>
  <si>
    <t>中部電力</t>
    <rPh sb="0" eb="4">
      <t>チュウブデンリョク</t>
    </rPh>
    <phoneticPr fontId="2"/>
  </si>
  <si>
    <t>現契約先</t>
    <rPh sb="0" eb="3">
      <t>ゲンケイヤク</t>
    </rPh>
    <rPh sb="3" eb="4">
      <t>サキ</t>
    </rPh>
    <phoneticPr fontId="2"/>
  </si>
  <si>
    <t>契約電力</t>
    <rPh sb="0" eb="2">
      <t>ケイヤク</t>
    </rPh>
    <rPh sb="2" eb="4">
      <t>デンリョク</t>
    </rPh>
    <phoneticPr fontId="2"/>
  </si>
  <si>
    <t>負荷率</t>
    <rPh sb="0" eb="2">
      <t>フカ</t>
    </rPh>
    <rPh sb="2" eb="3">
      <t>リツ</t>
    </rPh>
    <phoneticPr fontId="2"/>
  </si>
  <si>
    <t>基本料金</t>
    <rPh sb="0" eb="2">
      <t>キホン</t>
    </rPh>
    <rPh sb="2" eb="4">
      <t>リョウキン</t>
    </rPh>
    <phoneticPr fontId="5"/>
  </si>
  <si>
    <t>電力量料金
(1kWh)</t>
    <rPh sb="0" eb="2">
      <t>デンリョク</t>
    </rPh>
    <rPh sb="2" eb="3">
      <t>リョウ</t>
    </rPh>
    <rPh sb="3" eb="5">
      <t>リョウキン</t>
    </rPh>
    <phoneticPr fontId="5"/>
  </si>
  <si>
    <t>夏季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</si>
  <si>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</si>
  <si>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</si>
  <si>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</si>
  <si>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</si>
  <si>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</si>
  <si>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</si>
  <si>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</si>
  <si>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</si>
  <si>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</si>
  <si>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</si>
  <si>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</si>
  <si>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</si>
  <si>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  <phoneticPr fontId="2"/>
  </si>
  <si>
    <t>契約種別</t>
    <rPh sb="0" eb="2">
      <t>ケイヤク</t>
    </rPh>
    <rPh sb="2" eb="4">
      <t>シュベツ</t>
    </rPh>
    <phoneticPr fontId="2"/>
  </si>
  <si>
    <t>契約容量</t>
    <rPh sb="0" eb="2">
      <t>ケイヤク</t>
    </rPh>
    <rPh sb="2" eb="4">
      <t>ヨウリョウ</t>
    </rPh>
    <phoneticPr fontId="2"/>
  </si>
  <si>
    <t>第一段階</t>
  </si>
  <si>
    <t>第二段階</t>
  </si>
  <si>
    <t>第三段階</t>
  </si>
  <si>
    <t>使用量</t>
    <rPh sb="0" eb="2">
      <t>シヨウ</t>
    </rPh>
    <rPh sb="2" eb="3">
      <t>リョウ</t>
    </rPh>
    <phoneticPr fontId="2"/>
  </si>
  <si>
    <t>その他季</t>
  </si>
  <si>
    <t>地点①</t>
    <rPh sb="0" eb="2">
      <t>チテン</t>
    </rPh>
    <phoneticPr fontId="2"/>
  </si>
  <si>
    <t>地点②</t>
    <rPh sb="0" eb="2">
      <t>チテン</t>
    </rPh>
    <phoneticPr fontId="2"/>
  </si>
  <si>
    <t>特別割引の有無</t>
    <rPh sb="0" eb="2">
      <t>トクベツ</t>
    </rPh>
    <rPh sb="2" eb="4">
      <t>ワリビキ</t>
    </rPh>
    <rPh sb="5" eb="7">
      <t>ウム</t>
    </rPh>
    <phoneticPr fontId="2"/>
  </si>
  <si>
    <t>契約電力</t>
    <rPh sb="0" eb="4">
      <t>ケイヤクデンリョク</t>
    </rPh>
    <phoneticPr fontId="2"/>
  </si>
  <si>
    <t>基本料金単価</t>
    <rPh sb="0" eb="4">
      <t>キホンリョウキン</t>
    </rPh>
    <rPh sb="4" eb="6">
      <t>タンカ</t>
    </rPh>
    <phoneticPr fontId="2"/>
  </si>
  <si>
    <t>使用量</t>
    <rPh sb="0" eb="3">
      <t>シヨウリョウ</t>
    </rPh>
    <phoneticPr fontId="2"/>
  </si>
  <si>
    <t>従量料金単価</t>
    <rPh sb="0" eb="4">
      <t>ジュウリョウリョウキン</t>
    </rPh>
    <rPh sb="4" eb="6">
      <t>タンカ</t>
    </rPh>
    <phoneticPr fontId="2"/>
  </si>
  <si>
    <t>割引金額</t>
    <rPh sb="0" eb="4">
      <t>ワリビキキンガク</t>
    </rPh>
    <phoneticPr fontId="2"/>
  </si>
  <si>
    <t>基本料金＋従量料金</t>
    <rPh sb="0" eb="4">
      <t>キホンリョウキン</t>
    </rPh>
    <rPh sb="5" eb="9">
      <t>ジュウリョウリョウキン</t>
    </rPh>
    <phoneticPr fontId="2"/>
  </si>
  <si>
    <t>÷使用量</t>
    <rPh sb="1" eb="4">
      <t>シヨウリョウ</t>
    </rPh>
    <phoneticPr fontId="2"/>
  </si>
  <si>
    <t>結果</t>
    <rPh sb="0" eb="2">
      <t>ケッカ</t>
    </rPh>
    <phoneticPr fontId="2"/>
  </si>
  <si>
    <t>✕</t>
    <phoneticPr fontId="2"/>
  </si>
  <si>
    <t>基本料金①　　　（力率加味せず）</t>
    <rPh sb="0" eb="4">
      <t>キホンリョウキン</t>
    </rPh>
    <rPh sb="9" eb="11">
      <t>リキリツ</t>
    </rPh>
    <rPh sb="11" eb="13">
      <t>カミ</t>
    </rPh>
    <phoneticPr fontId="2"/>
  </si>
  <si>
    <t>基本料金②　　　（力率加味）</t>
    <rPh sb="0" eb="4">
      <t>キホンリョウキン</t>
    </rPh>
    <rPh sb="9" eb="11">
      <t>リキリツ</t>
    </rPh>
    <rPh sb="11" eb="13">
      <t>カミ</t>
    </rPh>
    <phoneticPr fontId="2"/>
  </si>
  <si>
    <r>
      <t>従量料金</t>
    </r>
    <r>
      <rPr>
        <sz val="9"/>
        <color theme="1"/>
        <rFont val="Segoe UI Symbol"/>
        <family val="2"/>
      </rPr>
      <t>1⃣</t>
    </r>
    <r>
      <rPr>
        <sz val="9"/>
        <color theme="1"/>
        <rFont val="游ゴシック"/>
        <family val="2"/>
        <charset val="128"/>
        <scheme val="minor"/>
      </rPr>
      <t>　　　（燃調加味せず）</t>
    </r>
    <rPh sb="0" eb="2">
      <t>ジュウリョウ</t>
    </rPh>
    <rPh sb="2" eb="4">
      <t>リョウキン</t>
    </rPh>
    <rPh sb="10" eb="12">
      <t>ネンチョウ</t>
    </rPh>
    <rPh sb="12" eb="14">
      <t>カミ</t>
    </rPh>
    <phoneticPr fontId="2"/>
  </si>
  <si>
    <r>
      <t>従量料金</t>
    </r>
    <r>
      <rPr>
        <sz val="9"/>
        <color theme="1"/>
        <rFont val="Segoe UI Symbol"/>
        <family val="2"/>
      </rPr>
      <t>2⃣</t>
    </r>
    <r>
      <rPr>
        <sz val="9"/>
        <color theme="1"/>
        <rFont val="游ゴシック"/>
        <family val="2"/>
        <charset val="128"/>
        <scheme val="minor"/>
      </rPr>
      <t>　　　（燃調加味）</t>
    </r>
    <rPh sb="0" eb="2">
      <t>ジュウリョウ</t>
    </rPh>
    <rPh sb="2" eb="4">
      <t>リョウキン</t>
    </rPh>
    <rPh sb="10" eb="12">
      <t>ネンチョウ</t>
    </rPh>
    <rPh sb="12" eb="14">
      <t>カミ</t>
    </rPh>
    <phoneticPr fontId="2"/>
  </si>
  <si>
    <r>
      <t>①+</t>
    </r>
    <r>
      <rPr>
        <sz val="11"/>
        <color theme="1"/>
        <rFont val="Segoe UI Symbol"/>
        <family val="2"/>
      </rPr>
      <t>1⃣</t>
    </r>
    <phoneticPr fontId="2"/>
  </si>
  <si>
    <r>
      <t>②+</t>
    </r>
    <r>
      <rPr>
        <sz val="11"/>
        <color theme="1"/>
        <rFont val="游ゴシック"/>
        <family val="2"/>
        <charset val="128"/>
      </rPr>
      <t>1⃣</t>
    </r>
    <phoneticPr fontId="2"/>
  </si>
  <si>
    <r>
      <t>①+</t>
    </r>
    <r>
      <rPr>
        <sz val="11"/>
        <color theme="1"/>
        <rFont val="Segoe UI Symbol"/>
        <family val="2"/>
      </rPr>
      <t>2⃣</t>
    </r>
    <phoneticPr fontId="2"/>
  </si>
  <si>
    <r>
      <t>②+</t>
    </r>
    <r>
      <rPr>
        <sz val="11"/>
        <color theme="1"/>
        <rFont val="Segoe UI Symbol"/>
        <family val="2"/>
      </rPr>
      <t>2⃣</t>
    </r>
    <phoneticPr fontId="2"/>
  </si>
  <si>
    <t>◎</t>
    <phoneticPr fontId="2"/>
  </si>
  <si>
    <t>容量拠出金</t>
    <rPh sb="0" eb="5">
      <t>ヨウリョウキョシュツキン</t>
    </rPh>
    <phoneticPr fontId="2"/>
  </si>
  <si>
    <t>提出納期</t>
    <rPh sb="0" eb="2">
      <t>テイシュツ</t>
    </rPh>
    <rPh sb="2" eb="4">
      <t>ノウキ</t>
    </rPh>
    <phoneticPr fontId="2"/>
  </si>
  <si>
    <t>SW希望日</t>
    <rPh sb="2" eb="5">
      <t>キボウビ</t>
    </rPh>
    <phoneticPr fontId="2"/>
  </si>
  <si>
    <t>マイナス表記</t>
    <rPh sb="4" eb="6">
      <t>ヒョウキ</t>
    </rPh>
    <phoneticPr fontId="2"/>
  </si>
  <si>
    <t>一律</t>
  </si>
  <si>
    <t>燃料費等調整額</t>
  </si>
  <si>
    <t>5月</t>
    <phoneticPr fontId="2"/>
  </si>
  <si>
    <t>長期契約料金割引</t>
  </si>
  <si>
    <t>予備電源</t>
    <rPh sb="0" eb="4">
      <t>ヨビデンゲン</t>
    </rPh>
    <phoneticPr fontId="2"/>
  </si>
  <si>
    <t>2025年</t>
    <rPh sb="4" eb="5">
      <t>ネン</t>
    </rPh>
    <phoneticPr fontId="2"/>
  </si>
  <si>
    <t>その他　費用</t>
    <rPh sb="2" eb="3">
      <t>タ</t>
    </rPh>
    <rPh sb="4" eb="6">
      <t>ヒヨウ</t>
    </rPh>
    <phoneticPr fontId="2"/>
  </si>
  <si>
    <t>予備線</t>
    <rPh sb="0" eb="2">
      <t>ヨビ</t>
    </rPh>
    <rPh sb="2" eb="3">
      <t>セン</t>
    </rPh>
    <phoneticPr fontId="2"/>
  </si>
  <si>
    <t>プラン名</t>
    <rPh sb="3" eb="4">
      <t>メイ</t>
    </rPh>
    <phoneticPr fontId="2"/>
  </si>
  <si>
    <t>法人番号</t>
    <rPh sb="0" eb="4">
      <t>ホウジンバンゴウ</t>
    </rPh>
    <phoneticPr fontId="2"/>
  </si>
  <si>
    <t>ｋWh</t>
    <phoneticPr fontId="2"/>
  </si>
  <si>
    <t>請求金額合計</t>
    <rPh sb="4" eb="6">
      <t>ゴウケイ</t>
    </rPh>
    <phoneticPr fontId="2"/>
  </si>
  <si>
    <t>円</t>
    <rPh sb="0" eb="1">
      <t>エン</t>
    </rPh>
    <phoneticPr fontId="2"/>
  </si>
  <si>
    <t xml:space="preserve">円/kW </t>
    <rPh sb="0" eb="1">
      <t>エン</t>
    </rPh>
    <phoneticPr fontId="2"/>
  </si>
  <si>
    <t>（±毎月の調整あり）※ほくでんの場合なし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</si>
</sst>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¥&quot;#,##0.00;&quot;¥&quot;\-#,##0.00"/>
    <numFmt numFmtId="176" formatCode="0.0%"/>
    <numFmt numFmtId="177" formatCode="#,##0.00_);[Red]\(#,##0.00\)"/>
    <numFmt numFmtId="178" formatCode="0_);[Red]\(0\)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9"/>
      <color theme="1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8"/>
      <color theme="1"/>
      <name val="游ゴシック"/>
      <family val="2"/>
      <charset val="128"/>
      <scheme val="minor"/>
    </font>
    <font>
      <sz val="9"/>
      <color theme="1"/>
      <name val="Segoe UI Symbol"/>
      <family val="2"/>
    </font>
    <font>
      <sz val="11"/>
      <color theme="4"/>
      <name val="游ゴシック"/>
      <family val="2"/>
      <charset val="128"/>
      <scheme val="minor"/>
    </font>
    <font>
      <sz val="11"/>
      <color rgb="FFFF0000"/>
      <name val="Segoe UI Symbol"/>
      <family val="2"/>
    </font>
    <font>
      <sz val="11"/>
      <color rgb="FFFF0000"/>
      <name val="游ゴシック"/>
      <family val="3"/>
      <charset val="128"/>
      <scheme val="minor"/>
    </font>
    <font>
      <sz val="11"/>
      <color rgb="FF333333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4" fillId="0" borderId="1" xfId="1" applyNumberFormat="1" applyFont="1" applyBorder="1" applyProtection="1">
      <alignment vertical="center"/>
      <protection locked="0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10" xfId="0" applyBorder="1">
      <alignment vertical="center"/>
    </xf>
    <xf numFmtId="0" fontId="0" fillId="0" borderId="9" xfId="0" applyBorder="1">
      <alignment vertical="center"/>
    </xf>
    <xf numFmtId="0" fontId="7" fillId="0" borderId="0" xfId="0" applyFont="1" applyAlignment="1">
      <alignment horizontal="center"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7" fontId="0" fillId="0" borderId="0" xfId="0" applyNumberFormat="1">
      <alignment vertical="center"/>
    </xf>
    <xf numFmtId="0" fontId="13" fillId="0" borderId="0" xfId="0" applyFont="1" applyAlignment="1">
      <alignment horizontal="center" vertical="center"/>
    </xf>
    <xf numFmtId="7" fontId="15" fillId="0" borderId="1" xfId="0" applyNumberFormat="1" applyFont="1" applyBorder="1">
      <alignment vertical="center"/>
    </xf>
    <xf numFmtId="0" fontId="15" fillId="0" borderId="1" xfId="0" applyFont="1" applyBorder="1">
      <alignment vertical="center"/>
    </xf>
    <xf numFmtId="0" fontId="0" fillId="4" borderId="1" xfId="0" applyFill="1" applyBorder="1">
      <alignment vertical="center"/>
    </xf>
    <xf numFmtId="7" fontId="0" fillId="4" borderId="1" xfId="0" applyNumberFormat="1" applyFill="1" applyBorder="1">
      <alignment vertical="center"/>
    </xf>
    <xf numFmtId="0" fontId="16" fillId="0" borderId="0" xfId="0" applyFont="1" applyAlignment="1">
      <alignment horizontal="center" vertical="center"/>
    </xf>
    <xf numFmtId="10" fontId="15" fillId="0" borderId="1" xfId="0" applyNumberFormat="1" applyFont="1" applyBorder="1">
      <alignment vertical="center"/>
    </xf>
    <xf numFmtId="0" fontId="0" fillId="0" borderId="5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9" fillId="0" borderId="0" xfId="0" applyFont="1">
      <alignment vertical="center"/>
    </xf>
    <xf numFmtId="0" fontId="17" fillId="0" borderId="0" xfId="0" applyFont="1">
      <alignment vertical="center"/>
    </xf>
    <xf numFmtId="14" fontId="3" fillId="0" borderId="1" xfId="0" applyNumberFormat="1" applyFont="1" applyBorder="1" applyAlignment="1">
      <alignment horizontal="center" vertical="center"/>
    </xf>
    <xf numFmtId="38" fontId="0" fillId="0" borderId="1" xfId="2" applyFont="1" applyBorder="1">
      <alignment vertical="center"/>
    </xf>
    <xf numFmtId="178" fontId="4" fillId="0" borderId="0" xfId="1" applyNumberFormat="1" applyFont="1" applyProtection="1">
      <alignment vertical="center"/>
      <protection locked="0"/>
    </xf>
    <xf numFmtId="0" fontId="3" fillId="2" borderId="11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1" xfId="2" applyNumberFormat="1" applyFont="1" applyBorder="1">
      <alignment vertical="center"/>
    </xf>
    <xf numFmtId="3" fontId="18" fillId="0" borderId="0" xfId="0" applyNumberFormat="1" applyFont="1">
      <alignment vertical="center"/>
    </xf>
    <xf numFmtId="4" fontId="0" fillId="0" borderId="1" xfId="2" applyNumberFormat="1" applyFont="1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38" fontId="0" fillId="6" borderId="1" xfId="2" applyFont="1" applyFill="1" applyBorder="1">
      <alignment vertical="center"/>
    </xf>
    <xf numFmtId="3" fontId="18" fillId="6" borderId="1" xfId="0" applyNumberFormat="1" applyFont="1" applyFill="1" applyBorder="1">
      <alignment vertical="center"/>
    </xf>
    <xf numFmtId="177" fontId="4" fillId="0" borderId="2" xfId="1" applyNumberFormat="1" applyFont="1" applyBorder="1" applyAlignment="1" applyProtection="1">
      <alignment horizontal="right" vertical="center"/>
      <protection locked="0"/>
    </xf>
    <xf numFmtId="177" fontId="4" fillId="0" borderId="3" xfId="1" applyNumberFormat="1" applyFont="1" applyBorder="1" applyAlignment="1" applyProtection="1">
      <alignment horizontal="right" vertical="center"/>
      <protection locked="0"/>
    </xf>
    <xf numFmtId="177" fontId="4" fillId="2" borderId="2" xfId="1" applyNumberFormat="1" applyFont="1" applyFill="1" applyBorder="1" applyAlignment="1" applyProtection="1">
      <alignment horizontal="center" vertical="center"/>
      <protection locked="0"/>
    </xf>
    <xf numFmtId="177" fontId="4" fillId="2" borderId="3" xfId="1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7" fontId="4" fillId="2" borderId="2" xfId="1" applyNumberFormat="1" applyFont="1" applyFill="1" applyBorder="1" applyAlignment="1" applyProtection="1">
      <alignment horizontal="center" vertical="center" wrapText="1"/>
      <protection locked="0"/>
    </xf>
    <xf numFmtId="177" fontId="4" fillId="2" borderId="9" xfId="1" applyNumberFormat="1" applyFont="1" applyFill="1" applyBorder="1" applyAlignment="1" applyProtection="1">
      <alignment horizontal="center" vertical="center" wrapText="1"/>
      <protection locked="0"/>
    </xf>
    <xf numFmtId="177" fontId="4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7" fontId="4" fillId="2" borderId="5" xfId="1" applyNumberFormat="1" applyFont="1" applyFill="1" applyBorder="1" applyAlignment="1" applyProtection="1">
      <alignment horizontal="center" vertical="center"/>
      <protection locked="0"/>
    </xf>
    <xf numFmtId="177" fontId="4" fillId="2" borderId="6" xfId="1" applyNumberFormat="1" applyFont="1" applyFill="1" applyBorder="1" applyAlignment="1" applyProtection="1">
      <alignment horizontal="center" vertical="center"/>
      <protection locked="0"/>
    </xf>
    <xf numFmtId="177" fontId="4" fillId="0" borderId="1" xfId="1" applyNumberFormat="1" applyFont="1" applyBorder="1" applyAlignment="1" applyProtection="1">
      <alignment horizontal="right" vertical="center"/>
      <protection locked="0"/>
    </xf>
    <xf numFmtId="0" fontId="0" fillId="0" borderId="1" xfId="0" applyBorder="1">
      <alignment vertical="center"/>
    </xf>
  </cellXfs>
  <cellStyles count="3">
    <cellStyle name="桁区切り" xfId="2" builtinId="6"/>
    <cellStyle name="標準" xfId="0" builtinId="0"/>
    <cellStyle name="標準 7" xfId="1" xr:uid="{1AEB80A3-0893-4087-8BF9-4FB8C6170E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CA1F-BF15-4EEF-A4CF-6A41A0D87AEE}">
  <dimension ref="A1:O34"/>
  <sheetViews>
    <sheetView tabSelected="1" topLeftCell="I1" zoomScale="80" zoomScaleNormal="80" workbookViewId="0">
      <selection activeCell="X6" sqref="X6"/>
    </sheetView>
  </sheetViews>
  <sheetFormatPr defaultColWidth="10.375" defaultRowHeight="18.75" x14ac:dyDescent="0.4"/>
  <cols>
    <col min="1" max="1" width="13.625" bestFit="1" customWidth="1"/>
    <col min="2" max="13" width="10.625" customWidth="1"/>
    <col min="14" max="14" width="11.75" bestFit="1" customWidth="1"/>
    <col min="15" max="15" width="13.25" bestFit="1" customWidth="1"/>
  </cols>
  <sheetData>
    <row r="1" spans="1:11" x14ac:dyDescent="0.4">
      <c r="A1" s="1" t="s">
        <v>0</v>
      </c>
      <c r="B1" s="71"/>
      <c r="C1" s="71"/>
      <c r="D1" s="71"/>
    </row>
    <row r="2" spans="1:11" x14ac:dyDescent="0.4">
      <c r="A2" s="1" t="s">
        <v>1</v>
      </c>
      <c r="B2" s="72"/>
      <c r="C2" s="72"/>
      <c r="D2" s="72"/>
    </row>
    <row r="3" spans="1:11" x14ac:dyDescent="0.4">
      <c r="A3" s="1" t="s">
        <v>2</v>
      </c>
      <c r="B3" s="62"/>
      <c r="C3" s="62"/>
      <c r="D3" s="62"/>
    </row>
    <row r="4" spans="1:11" x14ac:dyDescent="0.4">
      <c r="A4" s="1" t="s">
        <v>66</v>
      </c>
      <c r="B4" s="62"/>
      <c r="C4" s="62"/>
      <c r="D4" s="62"/>
    </row>
    <row r="6" spans="1:11" x14ac:dyDescent="0.4">
      <c r="A6" s="2" t="s">
        <v>3</v>
      </c>
      <c r="B6" s="62"/>
      <c r="C6" s="62"/>
      <c r="D6" s="62"/>
      <c r="F6" s="2" t="s">
        <v>54</v>
      </c>
      <c r="G6" s="43"/>
      <c r="J6" s="2" t="s">
        <v>55</v>
      </c>
      <c r="K6" s="43"/>
    </row>
    <row r="7" spans="1:11" x14ac:dyDescent="0.4">
      <c r="A7" s="2" t="s">
        <v>4</v>
      </c>
      <c r="B7" s="62"/>
      <c r="C7" s="62"/>
      <c r="D7" s="62"/>
    </row>
    <row r="8" spans="1:11" x14ac:dyDescent="0.4">
      <c r="A8" s="2" t="s">
        <v>6</v>
      </c>
      <c r="B8" s="62"/>
      <c r="C8" s="62"/>
      <c r="D8" s="62"/>
    </row>
    <row r="9" spans="1:11" x14ac:dyDescent="0.4">
      <c r="A9" s="52" t="s">
        <v>34</v>
      </c>
      <c r="B9" s="62"/>
      <c r="C9" s="62"/>
      <c r="D9" s="62"/>
    </row>
    <row r="12" spans="1:11" x14ac:dyDescent="0.4">
      <c r="A12" s="63" t="s">
        <v>65</v>
      </c>
      <c r="B12" s="64"/>
      <c r="C12" s="65"/>
      <c r="D12" s="66"/>
      <c r="E12" s="48"/>
      <c r="F12" s="2" t="s">
        <v>7</v>
      </c>
      <c r="G12" s="53"/>
      <c r="J12" s="6" t="s">
        <v>64</v>
      </c>
      <c r="K12" s="7"/>
    </row>
    <row r="13" spans="1:11" x14ac:dyDescent="0.4">
      <c r="A13" s="60" t="s">
        <v>9</v>
      </c>
      <c r="B13" s="61"/>
      <c r="C13" s="58"/>
      <c r="D13" s="59"/>
      <c r="E13" s="48" t="s">
        <v>69</v>
      </c>
      <c r="F13" s="2" t="s">
        <v>8</v>
      </c>
      <c r="G13" s="4" t="e">
        <f>N24/(G12*24*365)</f>
        <v>#DIV/0!</v>
      </c>
      <c r="J13" s="6" t="s">
        <v>61</v>
      </c>
      <c r="K13" s="7"/>
    </row>
    <row r="14" spans="1:11" ht="18" customHeight="1" x14ac:dyDescent="0.4">
      <c r="A14" s="67" t="s">
        <v>10</v>
      </c>
      <c r="B14" s="11" t="s">
        <v>57</v>
      </c>
      <c r="C14" s="70"/>
      <c r="D14" s="70"/>
      <c r="E14" s="54" t="s">
        <v>69</v>
      </c>
      <c r="F14" s="45"/>
      <c r="G14" s="23"/>
      <c r="H14" s="45"/>
    </row>
    <row r="15" spans="1:11" x14ac:dyDescent="0.4">
      <c r="A15" s="68"/>
      <c r="B15" s="11"/>
      <c r="C15" s="70"/>
      <c r="D15" s="70"/>
      <c r="E15" s="54" t="s">
        <v>69</v>
      </c>
      <c r="F15" s="45"/>
      <c r="G15" s="23"/>
      <c r="H15" s="45"/>
    </row>
    <row r="16" spans="1:11" x14ac:dyDescent="0.4">
      <c r="A16" s="68"/>
      <c r="B16" s="11" t="s">
        <v>53</v>
      </c>
      <c r="C16" s="70"/>
      <c r="D16" s="70"/>
      <c r="E16" s="55" t="s">
        <v>70</v>
      </c>
      <c r="F16" t="s">
        <v>71</v>
      </c>
    </row>
    <row r="17" spans="1:15" x14ac:dyDescent="0.4">
      <c r="A17" s="69"/>
      <c r="B17" s="11"/>
      <c r="C17" s="70"/>
      <c r="D17" s="70"/>
    </row>
    <row r="19" spans="1:15" x14ac:dyDescent="0.4">
      <c r="A19" t="s">
        <v>37</v>
      </c>
      <c r="B19" s="19" t="s">
        <v>62</v>
      </c>
      <c r="C19" s="47"/>
      <c r="D19" s="47"/>
      <c r="G19" s="47"/>
      <c r="H19" s="48"/>
      <c r="I19" s="48"/>
      <c r="J19" s="48"/>
      <c r="K19" s="38">
        <v>2024</v>
      </c>
      <c r="L19" s="47"/>
      <c r="M19" s="47"/>
      <c r="N19" s="27" t="s">
        <v>67</v>
      </c>
    </row>
    <row r="20" spans="1:15" x14ac:dyDescent="0.4">
      <c r="A20" s="6"/>
      <c r="B20" s="2" t="s">
        <v>12</v>
      </c>
      <c r="C20" s="46" t="s">
        <v>13</v>
      </c>
      <c r="D20" s="46" t="s">
        <v>14</v>
      </c>
      <c r="E20" s="2" t="s">
        <v>15</v>
      </c>
      <c r="F20" s="2" t="s">
        <v>59</v>
      </c>
      <c r="G20" s="2" t="s">
        <v>17</v>
      </c>
      <c r="H20" s="2" t="s">
        <v>18</v>
      </c>
      <c r="I20" s="2" t="s">
        <v>19</v>
      </c>
      <c r="J20" s="2" t="s">
        <v>20</v>
      </c>
      <c r="K20" s="2" t="s">
        <v>21</v>
      </c>
      <c r="L20" s="46" t="s">
        <v>22</v>
      </c>
      <c r="M20" s="46" t="s">
        <v>23</v>
      </c>
      <c r="N20" s="8" t="s">
        <v>24</v>
      </c>
    </row>
    <row r="21" spans="1:15" x14ac:dyDescent="0.4">
      <c r="A21" s="39" t="s">
        <v>57</v>
      </c>
      <c r="B21" s="44"/>
      <c r="C21" s="50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1:15" x14ac:dyDescent="0.4">
      <c r="A22" s="39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1:15" x14ac:dyDescent="0.4">
      <c r="A23" s="39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1:15" x14ac:dyDescent="0.4">
      <c r="A24" s="8" t="s">
        <v>24</v>
      </c>
      <c r="B24" s="56">
        <f>SUM(B21:B23)</f>
        <v>0</v>
      </c>
      <c r="C24" s="56">
        <f t="shared" ref="C24:M24" si="0">SUM(C21:C23)</f>
        <v>0</v>
      </c>
      <c r="D24" s="56">
        <f t="shared" si="0"/>
        <v>0</v>
      </c>
      <c r="E24" s="56">
        <f t="shared" si="0"/>
        <v>0</v>
      </c>
      <c r="F24" s="56">
        <f t="shared" si="0"/>
        <v>0</v>
      </c>
      <c r="G24" s="56">
        <f t="shared" si="0"/>
        <v>0</v>
      </c>
      <c r="H24" s="56">
        <f t="shared" si="0"/>
        <v>0</v>
      </c>
      <c r="I24" s="56">
        <f t="shared" si="0"/>
        <v>0</v>
      </c>
      <c r="J24" s="56">
        <f t="shared" si="0"/>
        <v>0</v>
      </c>
      <c r="K24" s="56">
        <f t="shared" si="0"/>
        <v>0</v>
      </c>
      <c r="L24" s="56">
        <f t="shared" si="0"/>
        <v>0</v>
      </c>
      <c r="M24" s="56">
        <f t="shared" si="0"/>
        <v>0</v>
      </c>
      <c r="N24" s="56">
        <f>SUM(N21:N23)</f>
        <v>0</v>
      </c>
    </row>
    <row r="26" spans="1:15" x14ac:dyDescent="0.4">
      <c r="A26" t="s">
        <v>63</v>
      </c>
      <c r="N26" s="27" t="s">
        <v>69</v>
      </c>
    </row>
    <row r="27" spans="1:15" x14ac:dyDescent="0.4">
      <c r="A27" s="39" t="s">
        <v>58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>
        <f>SUM(B27:M27)</f>
        <v>0</v>
      </c>
      <c r="O27" s="41" t="s">
        <v>56</v>
      </c>
    </row>
    <row r="28" spans="1:15" x14ac:dyDescent="0.4">
      <c r="A28" s="40" t="s">
        <v>60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>
        <f t="shared" ref="N28:N30" si="1">SUM(B28:M28)</f>
        <v>0</v>
      </c>
      <c r="O28" s="42" t="s">
        <v>56</v>
      </c>
    </row>
    <row r="29" spans="1:15" x14ac:dyDescent="0.4">
      <c r="A29" s="4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>
        <f t="shared" si="1"/>
        <v>0</v>
      </c>
      <c r="O29" s="42" t="s">
        <v>56</v>
      </c>
    </row>
    <row r="30" spans="1:15" x14ac:dyDescent="0.4">
      <c r="A30" s="40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>
        <f t="shared" si="1"/>
        <v>0</v>
      </c>
      <c r="O30" s="42" t="s">
        <v>56</v>
      </c>
    </row>
    <row r="32" spans="1:15" x14ac:dyDescent="0.4">
      <c r="B32" s="19" t="s">
        <v>62</v>
      </c>
      <c r="K32" s="38">
        <v>2024</v>
      </c>
      <c r="N32" s="27" t="s">
        <v>69</v>
      </c>
    </row>
    <row r="33" spans="1:14" x14ac:dyDescent="0.4">
      <c r="A33" s="6"/>
      <c r="B33" s="2" t="s">
        <v>12</v>
      </c>
      <c r="C33" s="2" t="s">
        <v>13</v>
      </c>
      <c r="D33" s="2" t="s">
        <v>14</v>
      </c>
      <c r="E33" s="2" t="s">
        <v>15</v>
      </c>
      <c r="F33" s="2" t="s">
        <v>59</v>
      </c>
      <c r="G33" s="2" t="s">
        <v>17</v>
      </c>
      <c r="H33" s="2" t="s">
        <v>18</v>
      </c>
      <c r="I33" s="2" t="s">
        <v>19</v>
      </c>
      <c r="J33" s="2" t="s">
        <v>20</v>
      </c>
      <c r="K33" s="2" t="s">
        <v>21</v>
      </c>
      <c r="L33" s="2" t="s">
        <v>22</v>
      </c>
      <c r="M33" s="2" t="s">
        <v>23</v>
      </c>
      <c r="N33" s="8" t="s">
        <v>24</v>
      </c>
    </row>
    <row r="34" spans="1:14" x14ac:dyDescent="0.4">
      <c r="A34" s="7" t="s">
        <v>68</v>
      </c>
      <c r="B34" s="56"/>
      <c r="C34" s="57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</row>
  </sheetData>
  <mergeCells count="17">
    <mergeCell ref="B8:D8"/>
    <mergeCell ref="B1:D1"/>
    <mergeCell ref="B2:D2"/>
    <mergeCell ref="B3:D3"/>
    <mergeCell ref="B6:D6"/>
    <mergeCell ref="B7:D7"/>
    <mergeCell ref="B4:D4"/>
    <mergeCell ref="A14:A17"/>
    <mergeCell ref="C14:D14"/>
    <mergeCell ref="C15:D15"/>
    <mergeCell ref="C16:D16"/>
    <mergeCell ref="C17:D17"/>
    <mergeCell ref="C13:D13"/>
    <mergeCell ref="A13:B13"/>
    <mergeCell ref="B9:D9"/>
    <mergeCell ref="A12:B12"/>
    <mergeCell ref="C12:D12"/>
  </mergeCells>
  <phoneticPr fontId="2"/>
  <dataValidations count="7">
    <dataValidation type="list" allowBlank="1" showInputMessage="1" showErrorMessage="1" sqref="A22:A23 B15" xr:uid="{3D4E1693-4447-4D9E-A58A-7FC392895121}">
      <formula1>"夜間,休日"</formula1>
    </dataValidation>
    <dataValidation type="list" allowBlank="1" showInputMessage="1" showErrorMessage="1" sqref="A21" xr:uid="{F474D501-10DB-4824-AF8E-F059BDCD5B28}">
      <formula1>"一律,昼間,平日,その他季,他季平日"</formula1>
    </dataValidation>
    <dataValidation type="list" allowBlank="1" showInputMessage="1" showErrorMessage="1" sqref="A29" xr:uid="{9E918C82-3C80-4A29-BE3D-DED9219C7240}">
      <formula1>"基本料金割引額A型"</formula1>
    </dataValidation>
    <dataValidation type="list" allowBlank="1" showInputMessage="1" showErrorMessage="1" sqref="A30" xr:uid="{C734E44D-53A4-4F32-90D7-92AD00AA8719}">
      <formula1>"電力料金割引額A型"</formula1>
    </dataValidation>
    <dataValidation type="list" allowBlank="1" showInputMessage="1" showErrorMessage="1" sqref="A27" xr:uid="{82AC6491-73AF-4AEB-9510-F63DD5664292}">
      <formula1>"燃料費等調整額"</formula1>
    </dataValidation>
    <dataValidation type="list" allowBlank="1" showInputMessage="1" showErrorMessage="1" sqref="B14" xr:uid="{50A7C708-5206-4A3A-B548-E6147FB2E3DC}">
      <formula1>"一律,昼間,平日,"</formula1>
    </dataValidation>
    <dataValidation type="list" allowBlank="1" showInputMessage="1" showErrorMessage="1" sqref="A28" xr:uid="{ACE3781C-7E1D-47DC-975B-668D45957339}">
      <formula1>"長期契約料金割引"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7971-A113-402F-B80D-9FE1C6C26648}">
  <dimension ref="A1:P30"/>
  <sheetViews>
    <sheetView zoomScale="85" zoomScaleNormal="85" workbookViewId="0">
      <selection activeCell="P13" sqref="P13"/>
    </sheetView>
  </sheetViews>
  <sheetFormatPr defaultColWidth="11.625" defaultRowHeight="18.75" x14ac:dyDescent="0.4"/>
  <sheetData>
    <row r="1" spans="1:16" x14ac:dyDescent="0.4">
      <c r="A1" s="1" t="s">
        <v>0</v>
      </c>
      <c r="B1" s="62"/>
      <c r="C1" s="62"/>
      <c r="D1" s="62"/>
    </row>
    <row r="2" spans="1:16" x14ac:dyDescent="0.4">
      <c r="A2" s="1" t="s">
        <v>1</v>
      </c>
      <c r="B2" s="62"/>
      <c r="C2" s="62"/>
      <c r="D2" s="62"/>
    </row>
    <row r="3" spans="1:16" x14ac:dyDescent="0.4">
      <c r="A3" s="1" t="s">
        <v>2</v>
      </c>
      <c r="B3" s="62"/>
      <c r="C3" s="62"/>
      <c r="D3" s="62"/>
    </row>
    <row r="4" spans="1:16" x14ac:dyDescent="0.4">
      <c r="B4" s="3"/>
      <c r="C4" s="3"/>
      <c r="D4" s="3"/>
    </row>
    <row r="5" spans="1:16" x14ac:dyDescent="0.4">
      <c r="A5" s="12"/>
      <c r="B5" s="13"/>
      <c r="C5" s="13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4">
      <c r="A6" s="78" t="s">
        <v>32</v>
      </c>
      <c r="B6" s="2" t="s">
        <v>3</v>
      </c>
      <c r="C6" s="62"/>
      <c r="D6" s="62"/>
      <c r="E6" s="62"/>
      <c r="G6" s="60" t="s">
        <v>9</v>
      </c>
      <c r="H6" s="61"/>
      <c r="I6" s="83"/>
      <c r="J6" s="84"/>
      <c r="P6" s="16"/>
    </row>
    <row r="7" spans="1:16" x14ac:dyDescent="0.4">
      <c r="A7" s="79"/>
      <c r="B7" s="2" t="s">
        <v>4</v>
      </c>
      <c r="C7" s="62" t="s">
        <v>5</v>
      </c>
      <c r="D7" s="62"/>
      <c r="E7" s="62"/>
      <c r="G7" s="81"/>
      <c r="H7" s="82"/>
      <c r="I7" s="84"/>
      <c r="J7" s="84"/>
      <c r="P7" s="16"/>
    </row>
    <row r="8" spans="1:16" x14ac:dyDescent="0.4">
      <c r="A8" s="80"/>
      <c r="B8" s="2" t="s">
        <v>6</v>
      </c>
      <c r="C8" s="62"/>
      <c r="D8" s="62"/>
      <c r="E8" s="62"/>
      <c r="G8" s="67" t="s">
        <v>10</v>
      </c>
      <c r="H8" s="73"/>
      <c r="I8" s="2" t="s">
        <v>27</v>
      </c>
      <c r="J8" s="5"/>
      <c r="P8" s="16"/>
    </row>
    <row r="9" spans="1:16" x14ac:dyDescent="0.4">
      <c r="A9" s="17"/>
      <c r="B9" s="18"/>
      <c r="C9" s="18"/>
      <c r="D9" s="18"/>
      <c r="E9" s="18"/>
      <c r="G9" s="74"/>
      <c r="H9" s="75"/>
      <c r="I9" s="2" t="s">
        <v>28</v>
      </c>
      <c r="J9" s="5"/>
      <c r="P9" s="16"/>
    </row>
    <row r="10" spans="1:16" x14ac:dyDescent="0.4">
      <c r="A10" s="17"/>
      <c r="B10" s="9" t="s">
        <v>25</v>
      </c>
      <c r="C10" s="9" t="s">
        <v>26</v>
      </c>
      <c r="G10" s="74"/>
      <c r="H10" s="75"/>
      <c r="I10" s="2" t="s">
        <v>29</v>
      </c>
      <c r="J10" s="5"/>
      <c r="P10" s="16"/>
    </row>
    <row r="11" spans="1:16" x14ac:dyDescent="0.4">
      <c r="A11" s="17"/>
      <c r="B11" s="10"/>
      <c r="C11" s="10"/>
      <c r="G11" s="76"/>
      <c r="H11" s="77"/>
      <c r="I11" s="2"/>
      <c r="J11" s="5"/>
      <c r="P11" s="16"/>
    </row>
    <row r="12" spans="1:16" x14ac:dyDescent="0.4">
      <c r="A12" s="17"/>
      <c r="P12" s="16"/>
    </row>
    <row r="13" spans="1:16" x14ac:dyDescent="0.4">
      <c r="A13" s="17"/>
      <c r="B13" s="11"/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8" t="s">
        <v>24</v>
      </c>
      <c r="P13" s="16"/>
    </row>
    <row r="14" spans="1:16" x14ac:dyDescent="0.4">
      <c r="A14" s="17"/>
      <c r="B14" s="11" t="s">
        <v>30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f>SUM(C14:N14)</f>
        <v>0</v>
      </c>
      <c r="P14" s="16"/>
    </row>
    <row r="15" spans="1:16" x14ac:dyDescent="0.4">
      <c r="A15" s="17"/>
      <c r="B15" s="1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>
        <f>SUM(C15:N15)</f>
        <v>0</v>
      </c>
      <c r="P15" s="16"/>
    </row>
    <row r="16" spans="1:16" x14ac:dyDescent="0.4">
      <c r="A16" s="17"/>
      <c r="B16" s="8" t="s">
        <v>24</v>
      </c>
      <c r="C16" s="7">
        <f t="shared" ref="C16:N16" si="0">SUM(C14:C15)</f>
        <v>0</v>
      </c>
      <c r="D16" s="7">
        <f t="shared" si="0"/>
        <v>0</v>
      </c>
      <c r="E16" s="7">
        <f t="shared" si="0"/>
        <v>0</v>
      </c>
      <c r="F16" s="7">
        <f t="shared" si="0"/>
        <v>0</v>
      </c>
      <c r="G16" s="7">
        <f t="shared" si="0"/>
        <v>0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0</v>
      </c>
      <c r="N16" s="7">
        <f t="shared" si="0"/>
        <v>0</v>
      </c>
      <c r="O16" s="7">
        <f>SUM(C16:N16)</f>
        <v>0</v>
      </c>
      <c r="P16" s="16"/>
    </row>
    <row r="17" spans="1:16" x14ac:dyDescent="0.4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</row>
    <row r="18" spans="1:16" x14ac:dyDescent="0.4">
      <c r="A18" s="22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</row>
    <row r="19" spans="1:16" x14ac:dyDescent="0.4">
      <c r="A19" s="78" t="s">
        <v>33</v>
      </c>
      <c r="B19" s="2" t="s">
        <v>3</v>
      </c>
      <c r="C19" s="62"/>
      <c r="D19" s="62"/>
      <c r="E19" s="62"/>
      <c r="G19" s="60" t="s">
        <v>9</v>
      </c>
      <c r="H19" s="61"/>
      <c r="I19" s="83"/>
      <c r="J19" s="84"/>
      <c r="P19" s="16"/>
    </row>
    <row r="20" spans="1:16" x14ac:dyDescent="0.4">
      <c r="A20" s="79"/>
      <c r="B20" s="2" t="s">
        <v>4</v>
      </c>
      <c r="C20" s="62" t="s">
        <v>5</v>
      </c>
      <c r="D20" s="62"/>
      <c r="E20" s="62"/>
      <c r="G20" s="81"/>
      <c r="H20" s="82"/>
      <c r="I20" s="84"/>
      <c r="J20" s="84"/>
      <c r="P20" s="16"/>
    </row>
    <row r="21" spans="1:16" x14ac:dyDescent="0.4">
      <c r="A21" s="80"/>
      <c r="B21" s="2" t="s">
        <v>6</v>
      </c>
      <c r="C21" s="62"/>
      <c r="D21" s="62"/>
      <c r="E21" s="62"/>
      <c r="G21" s="67" t="s">
        <v>10</v>
      </c>
      <c r="H21" s="73"/>
      <c r="I21" s="2" t="s">
        <v>11</v>
      </c>
      <c r="J21" s="5"/>
      <c r="P21" s="16"/>
    </row>
    <row r="22" spans="1:16" x14ac:dyDescent="0.4">
      <c r="A22" s="17"/>
      <c r="B22" s="18"/>
      <c r="C22" s="18"/>
      <c r="D22" s="18"/>
      <c r="E22" s="18"/>
      <c r="G22" s="74"/>
      <c r="H22" s="75"/>
      <c r="I22" s="2" t="s">
        <v>31</v>
      </c>
      <c r="J22" s="5"/>
      <c r="P22" s="16"/>
    </row>
    <row r="23" spans="1:16" x14ac:dyDescent="0.4">
      <c r="A23" s="17"/>
      <c r="B23" s="9" t="s">
        <v>25</v>
      </c>
      <c r="C23" s="9" t="s">
        <v>26</v>
      </c>
      <c r="G23" s="74"/>
      <c r="H23" s="75"/>
      <c r="I23" s="2"/>
      <c r="J23" s="5"/>
      <c r="P23" s="16"/>
    </row>
    <row r="24" spans="1:16" x14ac:dyDescent="0.4">
      <c r="A24" s="17"/>
      <c r="B24" s="10"/>
      <c r="C24" s="10"/>
      <c r="G24" s="76"/>
      <c r="H24" s="77"/>
      <c r="I24" s="2"/>
      <c r="J24" s="5"/>
      <c r="P24" s="16"/>
    </row>
    <row r="25" spans="1:16" x14ac:dyDescent="0.4">
      <c r="A25" s="17"/>
      <c r="P25" s="16"/>
    </row>
    <row r="26" spans="1:16" x14ac:dyDescent="0.4">
      <c r="A26" s="17"/>
      <c r="B26" s="11"/>
      <c r="C26" s="2" t="s">
        <v>12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17</v>
      </c>
      <c r="I26" s="2" t="s">
        <v>18</v>
      </c>
      <c r="J26" s="2" t="s">
        <v>19</v>
      </c>
      <c r="K26" s="2" t="s">
        <v>20</v>
      </c>
      <c r="L26" s="2" t="s">
        <v>21</v>
      </c>
      <c r="M26" s="2" t="s">
        <v>22</v>
      </c>
      <c r="N26" s="2" t="s">
        <v>23</v>
      </c>
      <c r="O26" s="8" t="s">
        <v>24</v>
      </c>
      <c r="P26" s="16"/>
    </row>
    <row r="27" spans="1:16" x14ac:dyDescent="0.4">
      <c r="A27" s="17"/>
      <c r="B27" s="2" t="s">
        <v>11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f>SUM(C27:N27)</f>
        <v>0</v>
      </c>
      <c r="P27" s="16"/>
    </row>
    <row r="28" spans="1:16" x14ac:dyDescent="0.4">
      <c r="A28" s="17"/>
      <c r="B28" s="2" t="s">
        <v>31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f>SUM(C28:N28)</f>
        <v>0</v>
      </c>
      <c r="P28" s="16"/>
    </row>
    <row r="29" spans="1:16" x14ac:dyDescent="0.4">
      <c r="A29" s="17"/>
      <c r="B29" s="8" t="s">
        <v>24</v>
      </c>
      <c r="C29" s="7">
        <f t="shared" ref="C29:N29" si="1">SUM(C27:C28)</f>
        <v>0</v>
      </c>
      <c r="D29" s="7">
        <f t="shared" si="1"/>
        <v>0</v>
      </c>
      <c r="E29" s="7">
        <f t="shared" si="1"/>
        <v>0</v>
      </c>
      <c r="F29" s="7">
        <f t="shared" si="1"/>
        <v>0</v>
      </c>
      <c r="G29" s="7">
        <f t="shared" si="1"/>
        <v>0</v>
      </c>
      <c r="H29" s="7">
        <f t="shared" si="1"/>
        <v>0</v>
      </c>
      <c r="I29" s="7">
        <f t="shared" si="1"/>
        <v>0</v>
      </c>
      <c r="J29" s="7">
        <f t="shared" si="1"/>
        <v>0</v>
      </c>
      <c r="K29" s="7">
        <f t="shared" si="1"/>
        <v>0</v>
      </c>
      <c r="L29" s="7">
        <f t="shared" si="1"/>
        <v>0</v>
      </c>
      <c r="M29" s="7">
        <f t="shared" si="1"/>
        <v>0</v>
      </c>
      <c r="N29" s="7">
        <f t="shared" si="1"/>
        <v>0</v>
      </c>
      <c r="O29" s="7">
        <f>SUM(C29:N29)</f>
        <v>0</v>
      </c>
      <c r="P29" s="16"/>
    </row>
    <row r="30" spans="1:16" x14ac:dyDescent="0.4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</row>
  </sheetData>
  <mergeCells count="17">
    <mergeCell ref="B1:D1"/>
    <mergeCell ref="B2:D2"/>
    <mergeCell ref="B3:D3"/>
    <mergeCell ref="C6:E6"/>
    <mergeCell ref="C7:E7"/>
    <mergeCell ref="I6:J7"/>
    <mergeCell ref="G8:H11"/>
    <mergeCell ref="C19:E19"/>
    <mergeCell ref="G19:H20"/>
    <mergeCell ref="I19:J20"/>
    <mergeCell ref="C20:E20"/>
    <mergeCell ref="C8:E8"/>
    <mergeCell ref="C21:E21"/>
    <mergeCell ref="G21:H24"/>
    <mergeCell ref="A6:A8"/>
    <mergeCell ref="A19:A21"/>
    <mergeCell ref="G6:H7"/>
  </mergeCells>
  <phoneticPr fontId="2"/>
  <dataValidations count="1">
    <dataValidation type="list" allowBlank="1" showInputMessage="1" showErrorMessage="1" sqref="I8:I11 I21:I24 B27:B28" xr:uid="{3663CCA3-3205-4E3C-806B-7752503B49FE}">
      <formula1>"第一段階,第二段階,第三段階,夏季,その他季"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F3EE-5EA4-40D0-AA47-8695E034428C}">
  <dimension ref="B3:I45"/>
  <sheetViews>
    <sheetView workbookViewId="0">
      <selection activeCell="C43" sqref="C43"/>
    </sheetView>
  </sheetViews>
  <sheetFormatPr defaultRowHeight="18.75" x14ac:dyDescent="0.4"/>
  <cols>
    <col min="1" max="1" width="4.625" customWidth="1"/>
    <col min="2" max="2" width="3.375" customWidth="1"/>
    <col min="3" max="3" width="13.875" customWidth="1"/>
    <col min="4" max="4" width="6.375" customWidth="1"/>
    <col min="5" max="5" width="16.375" customWidth="1"/>
    <col min="6" max="6" width="3.5" customWidth="1"/>
    <col min="7" max="7" width="13.125" customWidth="1"/>
    <col min="8" max="8" width="14" customWidth="1"/>
    <col min="9" max="9" width="3.5" customWidth="1"/>
    <col min="10" max="10" width="3.625" customWidth="1"/>
    <col min="11" max="11" width="14" customWidth="1"/>
  </cols>
  <sheetData>
    <row r="3" spans="2:8" x14ac:dyDescent="0.4">
      <c r="B3" s="22"/>
      <c r="C3" s="14"/>
      <c r="D3" s="14"/>
      <c r="E3" s="14"/>
      <c r="F3" s="14"/>
      <c r="G3" s="14"/>
      <c r="H3" s="14"/>
    </row>
    <row r="4" spans="2:8" s="23" customFormat="1" ht="31.5" x14ac:dyDescent="0.4">
      <c r="B4" s="24"/>
      <c r="C4" s="23" t="s">
        <v>35</v>
      </c>
      <c r="E4" s="23" t="s">
        <v>36</v>
      </c>
      <c r="G4" s="25" t="s">
        <v>44</v>
      </c>
      <c r="H4" s="25" t="s">
        <v>45</v>
      </c>
    </row>
    <row r="5" spans="2:8" x14ac:dyDescent="0.4">
      <c r="B5" s="17"/>
      <c r="C5" s="34"/>
      <c r="E5" s="35"/>
      <c r="G5" s="32">
        <f>C5*E5</f>
        <v>0</v>
      </c>
      <c r="H5" s="32">
        <f>C5*E5*0.85</f>
        <v>0</v>
      </c>
    </row>
    <row r="6" spans="2:8" x14ac:dyDescent="0.4">
      <c r="B6" s="17"/>
    </row>
    <row r="7" spans="2:8" s="23" customFormat="1" ht="31.5" x14ac:dyDescent="0.4">
      <c r="B7" s="24"/>
      <c r="C7" s="23" t="s">
        <v>37</v>
      </c>
      <c r="E7" s="23" t="s">
        <v>38</v>
      </c>
      <c r="G7" s="25" t="s">
        <v>46</v>
      </c>
      <c r="H7" s="25" t="s">
        <v>47</v>
      </c>
    </row>
    <row r="8" spans="2:8" x14ac:dyDescent="0.4">
      <c r="B8" s="17"/>
      <c r="C8" s="34"/>
      <c r="E8" s="35"/>
      <c r="G8" s="32">
        <f>C8*E8</f>
        <v>0</v>
      </c>
      <c r="H8" s="35"/>
    </row>
    <row r="9" spans="2:8" x14ac:dyDescent="0.4">
      <c r="B9" s="17"/>
    </row>
    <row r="10" spans="2:8" s="23" customFormat="1" x14ac:dyDescent="0.4">
      <c r="B10" s="24"/>
      <c r="C10" s="26" t="s">
        <v>39</v>
      </c>
      <c r="E10" s="31" t="s">
        <v>40</v>
      </c>
      <c r="H10" s="28" t="s">
        <v>42</v>
      </c>
    </row>
    <row r="11" spans="2:8" x14ac:dyDescent="0.4">
      <c r="B11" s="17"/>
      <c r="C11" s="35"/>
      <c r="D11" s="27" t="s">
        <v>48</v>
      </c>
      <c r="E11" s="32">
        <f>G5+G8</f>
        <v>0</v>
      </c>
      <c r="G11" s="37" t="e">
        <f>C11/E11</f>
        <v>#DIV/0!</v>
      </c>
      <c r="H11" s="29" t="s">
        <v>43</v>
      </c>
    </row>
    <row r="12" spans="2:8" x14ac:dyDescent="0.4">
      <c r="B12" s="17"/>
      <c r="C12" s="30"/>
      <c r="D12" s="27" t="s">
        <v>49</v>
      </c>
      <c r="E12" s="32">
        <f>H5+G8</f>
        <v>0</v>
      </c>
      <c r="G12" s="37" t="e">
        <f>C11/E12</f>
        <v>#DIV/0!</v>
      </c>
      <c r="H12" s="36" t="s">
        <v>52</v>
      </c>
    </row>
    <row r="13" spans="2:8" x14ac:dyDescent="0.4">
      <c r="B13" s="17"/>
      <c r="E13" s="27" t="s">
        <v>41</v>
      </c>
      <c r="F13" s="27"/>
      <c r="G13" s="32" t="e">
        <f>C11/C8</f>
        <v>#DIV/0!</v>
      </c>
      <c r="H13" s="29" t="s">
        <v>43</v>
      </c>
    </row>
    <row r="14" spans="2:8" x14ac:dyDescent="0.4">
      <c r="D14" s="27" t="s">
        <v>50</v>
      </c>
      <c r="E14" s="32">
        <f>G5+H8</f>
        <v>0</v>
      </c>
      <c r="G14" s="37" t="e">
        <f>C11/E14</f>
        <v>#DIV/0!</v>
      </c>
      <c r="H14" s="29" t="s">
        <v>43</v>
      </c>
    </row>
    <row r="15" spans="2:8" x14ac:dyDescent="0.4">
      <c r="D15" s="27" t="s">
        <v>51</v>
      </c>
      <c r="E15" s="32">
        <f>H5+H8</f>
        <v>0</v>
      </c>
      <c r="G15" s="37" t="e">
        <f>C11/E15</f>
        <v>#DIV/0!</v>
      </c>
      <c r="H15" s="29" t="s">
        <v>43</v>
      </c>
    </row>
    <row r="18" spans="2:9" x14ac:dyDescent="0.4">
      <c r="B18" s="22"/>
      <c r="C18" s="14"/>
      <c r="D18" s="14"/>
      <c r="E18" s="14"/>
      <c r="F18" s="14"/>
      <c r="G18" s="14"/>
      <c r="H18" s="14"/>
    </row>
    <row r="19" spans="2:9" ht="31.5" x14ac:dyDescent="0.4">
      <c r="B19" s="24"/>
      <c r="C19" s="23" t="s">
        <v>35</v>
      </c>
      <c r="D19" s="23"/>
      <c r="E19" s="23" t="s">
        <v>36</v>
      </c>
      <c r="F19" s="23"/>
      <c r="G19" s="25" t="s">
        <v>44</v>
      </c>
      <c r="H19" s="25" t="s">
        <v>45</v>
      </c>
      <c r="I19" s="23"/>
    </row>
    <row r="20" spans="2:9" x14ac:dyDescent="0.4">
      <c r="B20" s="17"/>
      <c r="C20" s="33">
        <f>C5</f>
        <v>0</v>
      </c>
      <c r="E20" s="32">
        <f>E5</f>
        <v>0</v>
      </c>
      <c r="G20" s="32">
        <f>C20*E20</f>
        <v>0</v>
      </c>
      <c r="H20" s="32">
        <f>C20*E20*0.85</f>
        <v>0</v>
      </c>
    </row>
    <row r="21" spans="2:9" x14ac:dyDescent="0.4">
      <c r="B21" s="17"/>
    </row>
    <row r="22" spans="2:9" ht="31.5" x14ac:dyDescent="0.4">
      <c r="B22" s="24"/>
      <c r="C22" s="23" t="s">
        <v>37</v>
      </c>
      <c r="D22" s="23"/>
      <c r="E22" s="23" t="s">
        <v>38</v>
      </c>
      <c r="F22" s="23"/>
      <c r="G22" s="25" t="s">
        <v>46</v>
      </c>
      <c r="H22" s="25" t="s">
        <v>47</v>
      </c>
      <c r="I22" s="23"/>
    </row>
    <row r="23" spans="2:9" x14ac:dyDescent="0.4">
      <c r="B23" s="17"/>
      <c r="C23" s="34"/>
      <c r="E23" s="32">
        <f>E8</f>
        <v>0</v>
      </c>
      <c r="G23" s="32">
        <f>C23*E23</f>
        <v>0</v>
      </c>
      <c r="H23" s="35"/>
    </row>
    <row r="24" spans="2:9" x14ac:dyDescent="0.4">
      <c r="B24" s="17"/>
    </row>
    <row r="25" spans="2:9" x14ac:dyDescent="0.4">
      <c r="B25" s="24"/>
      <c r="C25" s="26" t="s">
        <v>39</v>
      </c>
      <c r="D25" s="23"/>
      <c r="E25" s="31" t="s">
        <v>40</v>
      </c>
      <c r="F25" s="23"/>
      <c r="G25" s="23"/>
      <c r="H25" s="28" t="s">
        <v>42</v>
      </c>
      <c r="I25" s="23"/>
    </row>
    <row r="26" spans="2:9" x14ac:dyDescent="0.4">
      <c r="B26" s="17"/>
      <c r="C26" s="35"/>
      <c r="D26" s="27" t="s">
        <v>48</v>
      </c>
      <c r="E26" s="32">
        <f>G20+G23</f>
        <v>0</v>
      </c>
      <c r="G26" s="37" t="e">
        <f>C26/E26</f>
        <v>#DIV/0!</v>
      </c>
      <c r="H26" s="29" t="s">
        <v>43</v>
      </c>
    </row>
    <row r="27" spans="2:9" x14ac:dyDescent="0.4">
      <c r="B27" s="17"/>
      <c r="C27" s="30"/>
      <c r="D27" s="27" t="s">
        <v>49</v>
      </c>
      <c r="E27" s="32">
        <f>H20+G23</f>
        <v>0</v>
      </c>
      <c r="G27" s="37" t="e">
        <f>C26/E27</f>
        <v>#DIV/0!</v>
      </c>
      <c r="H27" s="36" t="s">
        <v>52</v>
      </c>
    </row>
    <row r="28" spans="2:9" x14ac:dyDescent="0.4">
      <c r="B28" s="17"/>
      <c r="E28" s="27" t="s">
        <v>41</v>
      </c>
      <c r="F28" s="27"/>
      <c r="G28" s="32" t="e">
        <f>C26/C23</f>
        <v>#DIV/0!</v>
      </c>
      <c r="H28" s="29" t="s">
        <v>43</v>
      </c>
    </row>
    <row r="29" spans="2:9" x14ac:dyDescent="0.4">
      <c r="D29" s="27" t="s">
        <v>50</v>
      </c>
      <c r="E29" s="32">
        <f>G20+H23</f>
        <v>0</v>
      </c>
      <c r="G29" s="37" t="e">
        <f>C26/E29</f>
        <v>#DIV/0!</v>
      </c>
      <c r="H29" s="29" t="s">
        <v>43</v>
      </c>
    </row>
    <row r="30" spans="2:9" x14ac:dyDescent="0.4">
      <c r="D30" s="27" t="s">
        <v>51</v>
      </c>
      <c r="E30" s="32">
        <f>H20+H23</f>
        <v>0</v>
      </c>
      <c r="G30" s="37" t="e">
        <f>C26/E30</f>
        <v>#DIV/0!</v>
      </c>
      <c r="H30" s="29" t="s">
        <v>43</v>
      </c>
    </row>
    <row r="33" spans="2:8" x14ac:dyDescent="0.4">
      <c r="B33" s="22"/>
      <c r="C33" s="14"/>
      <c r="D33" s="14"/>
      <c r="E33" s="14"/>
      <c r="F33" s="14"/>
      <c r="G33" s="14"/>
      <c r="H33" s="14"/>
    </row>
    <row r="34" spans="2:8" ht="31.5" x14ac:dyDescent="0.4">
      <c r="B34" s="24"/>
      <c r="C34" s="23" t="s">
        <v>35</v>
      </c>
      <c r="D34" s="23"/>
      <c r="E34" s="23" t="s">
        <v>36</v>
      </c>
      <c r="F34" s="23"/>
      <c r="G34" s="25" t="s">
        <v>44</v>
      </c>
      <c r="H34" s="25" t="s">
        <v>45</v>
      </c>
    </row>
    <row r="35" spans="2:8" x14ac:dyDescent="0.4">
      <c r="B35" s="17"/>
      <c r="C35" s="33">
        <f>C20</f>
        <v>0</v>
      </c>
      <c r="E35" s="32">
        <f>E20</f>
        <v>0</v>
      </c>
      <c r="G35" s="32">
        <f>C35*E35</f>
        <v>0</v>
      </c>
      <c r="H35" s="32">
        <f>C35*E35*0.85</f>
        <v>0</v>
      </c>
    </row>
    <row r="36" spans="2:8" x14ac:dyDescent="0.4">
      <c r="B36" s="17"/>
    </row>
    <row r="37" spans="2:8" ht="31.5" x14ac:dyDescent="0.4">
      <c r="B37" s="24"/>
      <c r="C37" s="23" t="s">
        <v>37</v>
      </c>
      <c r="D37" s="23"/>
      <c r="E37" s="23" t="s">
        <v>38</v>
      </c>
      <c r="F37" s="23"/>
      <c r="G37" s="25" t="s">
        <v>46</v>
      </c>
      <c r="H37" s="25" t="s">
        <v>47</v>
      </c>
    </row>
    <row r="38" spans="2:8" x14ac:dyDescent="0.4">
      <c r="B38" s="17"/>
      <c r="C38" s="34"/>
      <c r="E38" s="32">
        <f>E23</f>
        <v>0</v>
      </c>
      <c r="G38" s="32">
        <f>C38*E38</f>
        <v>0</v>
      </c>
      <c r="H38" s="35"/>
    </row>
    <row r="39" spans="2:8" x14ac:dyDescent="0.4">
      <c r="B39" s="17"/>
    </row>
    <row r="40" spans="2:8" x14ac:dyDescent="0.4">
      <c r="B40" s="24"/>
      <c r="C40" s="26" t="s">
        <v>39</v>
      </c>
      <c r="D40" s="23"/>
      <c r="E40" s="31" t="s">
        <v>40</v>
      </c>
      <c r="F40" s="23"/>
      <c r="G40" s="23"/>
      <c r="H40" s="28" t="s">
        <v>42</v>
      </c>
    </row>
    <row r="41" spans="2:8" x14ac:dyDescent="0.4">
      <c r="B41" s="17"/>
      <c r="C41" s="35"/>
      <c r="D41" s="27" t="s">
        <v>48</v>
      </c>
      <c r="E41" s="32">
        <f>G35+G38</f>
        <v>0</v>
      </c>
      <c r="G41" s="37" t="e">
        <f>C41/E41</f>
        <v>#DIV/0!</v>
      </c>
      <c r="H41" s="29" t="s">
        <v>43</v>
      </c>
    </row>
    <row r="42" spans="2:8" x14ac:dyDescent="0.4">
      <c r="B42" s="17"/>
      <c r="C42" s="30"/>
      <c r="D42" s="27" t="s">
        <v>49</v>
      </c>
      <c r="E42" s="32">
        <f>H35+G38</f>
        <v>0</v>
      </c>
      <c r="G42" s="37" t="e">
        <f>C41/E42</f>
        <v>#DIV/0!</v>
      </c>
      <c r="H42" s="36" t="s">
        <v>52</v>
      </c>
    </row>
    <row r="43" spans="2:8" x14ac:dyDescent="0.4">
      <c r="B43" s="17"/>
      <c r="E43" s="27" t="s">
        <v>41</v>
      </c>
      <c r="F43" s="27"/>
      <c r="G43" s="32" t="e">
        <f>C41/C38</f>
        <v>#DIV/0!</v>
      </c>
      <c r="H43" s="29" t="s">
        <v>43</v>
      </c>
    </row>
    <row r="44" spans="2:8" x14ac:dyDescent="0.4">
      <c r="D44" s="27" t="s">
        <v>50</v>
      </c>
      <c r="E44" s="32">
        <f>G35+H38</f>
        <v>0</v>
      </c>
      <c r="G44" s="37" t="e">
        <f>C41/E44</f>
        <v>#DIV/0!</v>
      </c>
      <c r="H44" s="29" t="s">
        <v>43</v>
      </c>
    </row>
    <row r="45" spans="2:8" x14ac:dyDescent="0.4">
      <c r="D45" s="27" t="s">
        <v>51</v>
      </c>
      <c r="E45" s="32">
        <f>H35+H38</f>
        <v>0</v>
      </c>
      <c r="G45" s="37" t="e">
        <f>C41/E45</f>
        <v>#DIV/0!</v>
      </c>
      <c r="H45" s="29" t="s">
        <v>43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高圧</vt:lpstr>
      <vt:lpstr>低圧</vt:lpstr>
      <vt:lpstr>特別割引計算シート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小野永利加</dc:creator>
  <cp:lastModifiedBy>田島 宝人</cp:lastModifiedBy>
  <dcterms:created xsi:type="dcterms:W3CDTF">2020-09-15T06:13:07Z</dcterms:created>
  <dcterms:modified xsi:type="dcterms:W3CDTF">2025-11-13T05:37:28Z</dcterms:modified>
</cp:coreProperties>
</file>